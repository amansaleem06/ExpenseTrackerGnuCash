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16" documentId="13_ncr:1_{044CAAEB-0DA5-4DF7-8A8B-57E950DC4284}" xr6:coauthVersionLast="47" xr6:coauthVersionMax="47" xr10:uidLastSave="{B336CC07-E37D-1C44-8CCF-40377FEE195D}"/>
  <bookViews>
    <workbookView xWindow="-120" yWindow="-120" windowWidth="29040" windowHeight="15720" firstSheet="1" activeTab="1" xr2:uid="{00000000-000D-0000-FFFF-FFFF00000000}"/>
  </bookViews>
  <sheets>
    <sheet name="Expense Summary" sheetId="8" r:id="rId1"/>
    <sheet name="Input_Expenses" sheetId="6" r:id="rId2"/>
    <sheet name="Mapping" sheetId="2" r:id="rId3"/>
    <sheet name="GnuCash" sheetId="5" r:id="rId4"/>
    <sheet name="Instructions" sheetId="4" r:id="rId5"/>
  </sheets>
  <definedNames>
    <definedName name="AccountType" localSheetId="1">Mapping!$A$2:$A$3</definedName>
    <definedName name="ExpenseTypes">Mapping!$A$2:$A$194</definedName>
    <definedName name="TotalExpenses">SUM(#REF!)</definedName>
    <definedName name="Type">Mapping!$E$2:$E$1048576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E3" i="5"/>
  <c r="E4" i="5"/>
  <c r="E2" i="5"/>
  <c r="A2" i="6"/>
  <c r="A2" i="5" a="1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<sst xmlns="http://schemas.openxmlformats.org/spreadsheetml/2006/main" count="51" uniqueCount="35">
  <si>
    <t>Row Labels</t>
  </si>
  <si>
    <t>Sum of Amount</t>
  </si>
  <si>
    <t>Drinks(Cola,Hell,Dreher)</t>
  </si>
  <si>
    <t>(blank)</t>
  </si>
  <si>
    <t>Other Expenses</t>
  </si>
  <si>
    <t>Taxes</t>
  </si>
  <si>
    <t>Personal Cash outs</t>
  </si>
  <si>
    <t>Grand Total</t>
  </si>
  <si>
    <t>Date</t>
  </si>
  <si>
    <t>Description</t>
  </si>
  <si>
    <t>Amount</t>
  </si>
  <si>
    <t>Account</t>
  </si>
  <si>
    <t>Expense Type</t>
  </si>
  <si>
    <t>sdsf</t>
  </si>
  <si>
    <t>Cash</t>
  </si>
  <si>
    <t>Card</t>
  </si>
  <si>
    <t>Transfer Account</t>
  </si>
  <si>
    <t>Expense Types</t>
  </si>
  <si>
    <t>Assets:Cash</t>
  </si>
  <si>
    <t>Salaries</t>
  </si>
  <si>
    <t>Assets:Card</t>
  </si>
  <si>
    <t>Ingridients</t>
  </si>
  <si>
    <t>Rent</t>
  </si>
  <si>
    <t>Utilities</t>
  </si>
  <si>
    <t xml:space="preserve">  </t>
  </si>
  <si>
    <t xml:space="preserve">    </t>
  </si>
  <si>
    <t xml:space="preserve">   </t>
  </si>
  <si>
    <t xml:space="preserve"> </t>
  </si>
  <si>
    <t>Expense Tracker (for GnuCash import)</t>
  </si>
  <si>
    <t>1) Workers enter expenses only in the Input_Expenses sheet (Date, Description, Amount, Expense Type).</t>
  </si>
  <si>
    <t>2) You maintain categories and matching GnuCash accounts in the Mapping sheet (hidden by default).</t>
  </si>
  <si>
    <t>3) Import into GnuCash using the GnuCash_Export sheet (Date, Description, Amount, Transfer Account).</t>
  </si>
  <si>
    <t xml:space="preserve">   Tip: Export GnuCash_Export as CSV if needed.</t>
  </si>
  <si>
    <t>Last generated:</t>
  </si>
  <si>
    <t>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</si>
</sst>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65" formatCode="_-[$HUF]\ * #,##0.00_-;\-[$HUF]\ * #,##0.00_-;_-[$HUF]\ * &quot;-&quot;??_-;_-@_-"/>
    <numFmt numFmtId="166" formatCode="&quot;$&quot;#,##0.00_);\(&quot;$&quot;#,##0.00\)"/>
  </numFmts>
  <fonts count="1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28"/>
      <color theme="0" tint="-4.9989318521683403E-2"/>
      <name val="Cambria"/>
      <family val="2"/>
      <scheme val="major"/>
    </font>
    <font>
      <sz val="11"/>
      <color theme="3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6"/>
      <color theme="6"/>
      <name val="Calibri"/>
      <family val="2"/>
      <scheme val="minor"/>
    </font>
    <font>
      <b/>
      <sz val="16"/>
      <color theme="7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</borders>
  <cellStyleXfs count="10">
    <xf numFmtId="0" fontId="0" fillId="0" borderId="0"/>
    <xf numFmtId="0" fontId="6" fillId="3" borderId="0" applyNumberFormat="0" applyBorder="0" applyAlignment="0" applyProtection="0"/>
    <xf numFmtId="0" fontId="7" fillId="0" borderId="0"/>
    <xf numFmtId="0" fontId="8" fillId="3" borderId="0" applyNumberFormat="0" applyProtection="0">
      <alignment horizontal="left" vertical="center" indent="1"/>
    </xf>
    <xf numFmtId="0" fontId="9" fillId="3" borderId="0" applyNumberFormat="0" applyProtection="0">
      <alignment horizontal="left" vertical="center" indent="1"/>
    </xf>
    <xf numFmtId="0" fontId="10" fillId="3" borderId="0" applyNumberFormat="0" applyProtection="0">
      <alignment horizontal="left" vertical="center" indent="1"/>
    </xf>
    <xf numFmtId="0" fontId="11" fillId="3" borderId="0" applyNumberFormat="0" applyProtection="0">
      <alignment horizontal="left" vertical="center" indent="1"/>
    </xf>
    <xf numFmtId="0" fontId="12" fillId="3" borderId="0" applyNumberFormat="0" applyProtection="0">
      <alignment horizontal="left" vertical="center" indent="1"/>
    </xf>
    <xf numFmtId="166" fontId="13" fillId="3" borderId="0" applyProtection="0">
      <alignment horizontal="left" vertical="center" indent="1"/>
    </xf>
    <xf numFmtId="166" fontId="14" fillId="0" borderId="0" applyFill="0" applyBorder="0" applyProtection="0">
      <alignment horizontal="right" vertical="center" indent="1"/>
    </xf>
  </cellStyleXfs>
  <cellXfs count="21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 applyProtection="1">
      <alignment vertical="center"/>
      <protection locked="0"/>
    </xf>
    <xf numFmtId="2" fontId="4" fillId="2" borderId="1" xfId="0" applyNumberFormat="1" applyFont="1" applyFill="1" applyBorder="1" applyAlignment="1" applyProtection="1">
      <alignment vertical="center"/>
      <protection locked="0"/>
    </xf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165" fontId="5" fillId="0" borderId="0" xfId="0" applyNumberFormat="1" applyFont="1" applyProtection="1">
      <protection locked="0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5" borderId="2" xfId="0" applyFont="1" applyFill="1" applyBorder="1" applyAlignment="1" applyProtection="1">
      <alignment vertical="center"/>
      <protection locked="0"/>
    </xf>
    <xf numFmtId="14" fontId="15" fillId="0" borderId="0" xfId="0" applyNumberFormat="1" applyFont="1" applyProtection="1">
      <protection locked="0"/>
    </xf>
    <xf numFmtId="0" fontId="15" fillId="0" borderId="0" xfId="0" applyFont="1" applyProtection="1">
      <protection locked="0"/>
    </xf>
    <xf numFmtId="165" fontId="15" fillId="0" borderId="0" xfId="0" applyNumberFormat="1" applyFont="1" applyProtection="1">
      <protection locked="0"/>
    </xf>
  </cellXfs>
  <cellStyles count="10">
    <cellStyle name="Currency [0] 2" xfId="9" xr:uid="{47DE3CAF-122B-4F76-B796-3CA4C2810A97}"/>
    <cellStyle name="Currency 2" xfId="8" xr:uid="{422C01BF-3317-431A-A05E-45C8BDFC06B1}"/>
    <cellStyle name="Heading 1 2" xfId="3" xr:uid="{FE10245C-15BF-4474-9B47-C9080D8F2D6D}"/>
    <cellStyle name="Heading 2 2" xfId="4" xr:uid="{5EA9C4B3-9666-4E3A-9707-932C10694395}"/>
    <cellStyle name="Heading 3 2" xfId="5" xr:uid="{EC218112-4FC3-4FA4-AF40-8B296E814D75}"/>
    <cellStyle name="Heading 4 2" xfId="6" xr:uid="{915F96D6-3119-4397-BF72-8228C20CE8BF}"/>
    <cellStyle name="Normal" xfId="0" builtinId="0"/>
    <cellStyle name="Normal 2" xfId="2" xr:uid="{1618CDCA-E63C-4C0C-9CC7-7F61B79EBB1D}"/>
    <cellStyle name="Title 2" xfId="1" xr:uid="{A1B705E5-EA2F-47EE-AF07-6F812AF03E3F}"/>
    <cellStyle name="Total 2" xfId="7" xr:uid="{5B655D9F-7107-4A02-ADD7-2450B0ADB593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numFmt numFmtId="165" formatCode="_-[$HUF]\ * #,##0.00_-;\-[$HUF]\ * #,##0.00_-;_-[$HUF]\ 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numFmt numFmtId="167" formatCode="dd/mm/yyyy"/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border outline="0">
        <bottom style="thin">
          <color rgb="FF9E9E9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9E9E9E"/>
        </left>
        <right style="thin">
          <color rgb="FF9E9E9E"/>
        </right>
        <top/>
        <bottom/>
      </border>
      <protection locked="0" hidden="0"/>
    </dxf>
    <dxf>
      <fill>
        <patternFill>
          <bgColor theme="2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ont>
        <b val="0"/>
        <i val="0"/>
        <color theme="0" tint="-4.9989318521683403E-2"/>
      </font>
      <fill>
        <patternFill>
          <fgColor theme="1" tint="0.14996795556505021"/>
          <bgColor theme="1" tint="0.14996795556505021"/>
        </patternFill>
      </fill>
    </dxf>
    <dxf>
      <font>
        <color theme="3"/>
      </font>
      <fill>
        <patternFill patternType="none">
          <bgColor auto="1"/>
        </patternFill>
      </fill>
      <border>
        <vertical/>
      </border>
    </dxf>
  </dxfs>
  <tableStyles count="1" defaultTableStyle="TableStyleMedium9" defaultPivotStyle="PivotStyleLight16">
    <tableStyle name="Household Expense Table" pivot="0" count="4" xr9:uid="{8BA66FB0-805A-4EFF-9F85-EDFB1BC1F698}">
      <tableStyleElement type="wholeTable" dxfId="16"/>
      <tableStyleElement type="headerRow" dxfId="15"/>
      <tableStyleElement type="totalRow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[Expense_Tracker_GnuCash_draft02.xlsx]Expense Summary!PivotTable6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Summary'!$B$1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'Expense Summary'!$A$2:$A$7</c:f>
              <c:strCache>
                <c:ptCount val="5"/>
                <c:pt idx="0">
                  <c:v>Drinks(Cola,Hell,Dreher)</c:v>
                </c:pt>
                <c:pt idx="1">
                  <c:v>(blank)</c:v>
                </c:pt>
                <c:pt idx="2">
                  <c:v>Other Expenses</c:v>
                </c:pt>
                <c:pt idx="3">
                  <c:v>Taxes</c:v>
                </c:pt>
                <c:pt idx="4">
                  <c:v>Personal Cash outs</c:v>
                </c:pt>
              </c:strCache>
            </c:strRef>
          </c:cat>
          <c:val>
            <c:numRef>
              <c:f>'Expense Summary'!$B$2:$B$7</c:f>
              <c:numCache>
                <c:formatCode>General</c:formatCode>
                <c:ptCount val="5"/>
                <c:pt idx="0">
                  <c:v>1</c:v>
                </c:pt>
                <c:pt idx="2">
                  <c:v>500</c:v>
                </c:pt>
                <c:pt idx="3">
                  <c:v>4577</c:v>
                </c:pt>
                <c:pt idx="4">
                  <c:v>7666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E-483B-B4F6-2C59EA866C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5308704"/>
        <c:axId val="235292864"/>
      </c:barChart>
      <c:catAx>
        <c:axId val="235308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92864"/>
        <c:crosses val="autoZero"/>
        <c:auto val="1"/>
        <c:lblAlgn val="ctr"/>
        <c:lblOffset val="100"/>
        <c:noMultiLvlLbl val="0"/>
      </c:catAx>
      <c:valAx>
        <c:axId val="235292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114299</xdr:colOff>
      <xdr:row>1</xdr:row>
      <xdr:rowOff>9525</xdr:rowOff>
    </xdr:from>
    <xdr:to>
      <xdr:col>14</xdr:col>
      <xdr:colOff>161925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00C2C-016D-A3AE-D41A-ED35EC2F3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9.723072569446" createdVersion="8" refreshedVersion="8" minRefreshableVersion="3" recordCount="5" xr:uid="{7EB63D58-05BF-4CE4-92BE-422D7AD34C4D}">
  <cacheSource type="worksheet">
    <worksheetSource ref="A1:E1048576" sheet="Input_Expenses"/>
  </cacheSource>
  <cacheFields count="5">
    <cacheField name="Date" numFmtId="14">
      <sharedItems containsNonDate="0" containsDate="1" containsString="0" containsBlank="1" minDate="2026-01-17T00:00:00" maxDate="2026-01-18T00:00:00"/>
    </cacheField>
    <cacheField name="Description" numFmtId="0">
      <sharedItems containsBlank="1"/>
    </cacheField>
    <cacheField name="Amount" numFmtId="165">
      <sharedItems containsString="0" containsBlank="1" containsNumber="1" containsInteger="1" minValue="1" maxValue="7666"/>
    </cacheField>
    <cacheField name="Account" numFmtId="0">
      <sharedItems containsBlank="1"/>
    </cacheField>
    <cacheField name="Expense Type" numFmtId="0">
      <sharedItems containsBlank="1" count="5">
        <s v="Drinks(Cola,Hell,Dreher)"/>
        <s v="Other Expenses"/>
        <s v="Taxes"/>
        <s v="Personal Cash ou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1-17T00:00:00"/>
    <s v="sdsf"/>
    <n v="1"/>
    <s v="Cash"/>
    <x v="0"/>
  </r>
  <r>
    <d v="2026-01-17T00:00:00"/>
    <s v="XZfgc"/>
    <n v="500"/>
    <s v="Cash"/>
    <x v="1"/>
  </r>
  <r>
    <d v="2026-01-17T00:00:00"/>
    <s v="sdgfhj"/>
    <n v="4577"/>
    <s v="Card"/>
    <x v="2"/>
  </r>
  <r>
    <d v="2026-01-17T00:00:00"/>
    <s v="jhkh"/>
    <n v="7666"/>
    <s v="Card"/>
    <x v="3"/>
  </r>
  <r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5A92B-B9C9-4DE4-80B0-F05B5A598D1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C55E38-4FA2-4BF4-B794-296ED91352B8}" name="tblInput4" displayName="tblInput4" ref="A1:E3" headerRowDxfId="12" dataDxfId="10" headerRowBorderDxfId="11">
  <autoFilter ref="A1:E3" xr:uid="{63EF4936-4F66-495B-A3D2-DF8BD4C2F591}"/>
  <tableColumns count="5">
    <tableColumn id="1" xr3:uid="{516CA772-3F72-4819-BF6D-1CC8DD2A5D64}" name="Date" totalsRowLabel="Total" dataDxfId="9" totalsRowDxfId="8">
      <calculatedColumnFormula>TODAY()</calculatedColumnFormula>
    </tableColumn>
    <tableColumn id="2" xr3:uid="{1129CC8A-3E38-478A-9FD6-733F71551302}" name="Description" dataDxfId="7" totalsRowDxfId="6"/>
    <tableColumn id="3" xr3:uid="{DCB0FF02-C35D-47C4-9CBF-428B37ECF2EE}" name="Amount" dataDxfId="5" totalsRowDxfId="4"/>
    <tableColumn id="4" xr3:uid="{722994BD-6B1F-422F-B336-26A545D20482}" name="Account" dataDxfId="3" totalsRowDxfId="2"/>
    <tableColumn id="5" xr3:uid="{1758EEDF-6D8B-4431-B36D-E8C53A1FFA10}" name="Expense Type" totalsRowFunction="count" dataDxfId="1" totalsRowDxfId="0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apping" displayName="tblMapping" ref="A1:B3">
  <autoFilter ref="A1:B3" xr:uid="{00000000-0009-0000-0100-000002000000}"/>
  <tableColumns count="2">
    <tableColumn id="1" xr3:uid="{00000000-0010-0000-0100-000001000000}" name="Expense Type"/>
    <tableColumn id="2" xr3:uid="{00000000-0010-0000-0100-000002000000}" name="Transfer Ac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C31999-1ADD-441B-9AE2-40F28E4B28BA}" name="Table5" displayName="Table5" ref="E1:E9" totalsRowShown="0">
  <autoFilter ref="E1:E9" xr:uid="{A1C31999-1ADD-441B-9AE2-40F28E4B28BA}"/>
  <tableColumns count="1">
    <tableColumn id="1" xr3:uid="{B7092ED2-A048-438C-BCE7-5AC55BF03EBA}" name="Expense Typ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55D6-A861-4947-90B1-14DFB1C5CC96}">
  <dimension ref="A1:B7"/>
  <sheetViews>
    <sheetView topLeftCell="B1" zoomScaleNormal="100" workbookViewId="0">
      <selection activeCell="O26" sqref="O26"/>
    </sheetView>
  </sheetViews>
  <sheetFormatPr defaultRowHeight="15" x14ac:dyDescent="0.2"/>
  <cols>
    <col min="1" max="1" width="22.05859375" bestFit="1" customWidth="1"/>
    <col min="2" max="2" width="14.796875" bestFit="1" customWidth="1"/>
  </cols>
  <sheetData>
    <row r="1" spans="1:2" x14ac:dyDescent="0.2">
      <c r="A1" s="14" t="s">
        <v>0</v>
      </c>
      <c r="B1" t="s">
        <v>1</v>
      </c>
    </row>
    <row r="2" spans="1:2" x14ac:dyDescent="0.2">
      <c r="A2" s="15" t="s">
        <v>2</v>
      </c>
      <c r="B2" s="16">
        <v>1</v>
      </c>
    </row>
    <row r="3" spans="1:2" x14ac:dyDescent="0.2">
      <c r="A3" s="15" t="s">
        <v>3</v>
      </c>
      <c r="B3" s="16"/>
    </row>
    <row r="4" spans="1:2" x14ac:dyDescent="0.2">
      <c r="A4" s="15" t="s">
        <v>4</v>
      </c>
      <c r="B4" s="16">
        <v>500</v>
      </c>
    </row>
    <row r="5" spans="1:2" x14ac:dyDescent="0.2">
      <c r="A5" s="15" t="s">
        <v>5</v>
      </c>
      <c r="B5" s="16">
        <v>4577</v>
      </c>
    </row>
    <row r="6" spans="1:2" x14ac:dyDescent="0.2">
      <c r="A6" s="15" t="s">
        <v>6</v>
      </c>
      <c r="B6" s="16">
        <v>7666</v>
      </c>
    </row>
    <row r="7" spans="1:2" x14ac:dyDescent="0.2">
      <c r="A7" s="15" t="s">
        <v>7</v>
      </c>
      <c r="B7" s="16">
        <v>12744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DA99-03A9-459C-B259-155FD3B4D7B9}">
  <dimension ref="A1:E3"/>
  <sheetViews>
    <sheetView showGridLines="0" tabSelected="1" workbookViewId="0">
      <selection activeCell="B12" sqref="B12"/>
    </sheetView>
  </sheetViews>
  <sheetFormatPr defaultColWidth="9.14453125" defaultRowHeight="15" x14ac:dyDescent="0.2"/>
  <cols>
    <col min="1" max="1" width="11.8359375" style="10" bestFit="1" customWidth="1"/>
    <col min="2" max="2" width="14.390625" style="11" bestFit="1" customWidth="1"/>
    <col min="3" max="3" width="16.41015625" style="12" bestFit="1" customWidth="1"/>
    <col min="4" max="4" width="8.7421875" style="11" customWidth="1"/>
    <col min="5" max="5" width="20.58203125" style="11" customWidth="1"/>
    <col min="6" max="16384" width="9.14453125" style="13"/>
  </cols>
  <sheetData>
    <row r="1" spans="1:5" x14ac:dyDescent="0.2">
      <c r="A1" s="8" t="s">
        <v>8</v>
      </c>
      <c r="B1" s="8" t="s">
        <v>9</v>
      </c>
      <c r="C1" s="9" t="s">
        <v>10</v>
      </c>
      <c r="D1" s="8" t="s">
        <v>11</v>
      </c>
      <c r="E1" s="17" t="s">
        <v>12</v>
      </c>
    </row>
    <row r="2" spans="1:5" ht="17.25" customHeight="1" x14ac:dyDescent="0.2">
      <c r="A2" s="10">
        <f ca="1">TODAY()</f>
        <v>46039</v>
      </c>
      <c r="B2" s="11" t="s">
        <v>13</v>
      </c>
      <c r="C2" s="12">
        <v>1</v>
      </c>
      <c r="D2" s="11" t="s">
        <v>14</v>
      </c>
      <c r="E2" s="11" t="s">
        <v>2</v>
      </c>
    </row>
    <row r="3" spans="1:5" x14ac:dyDescent="0.2">
      <c r="A3" s="18">
        <f ca="1">TODAY()</f>
        <v>46039</v>
      </c>
      <c r="B3" s="19" t="s">
        <v>34</v>
      </c>
      <c r="C3" s="20"/>
      <c r="D3" s="19" t="s">
        <v>15</v>
      </c>
      <c r="E3" s="19" t="s">
        <v>21</v>
      </c>
    </row>
  </sheetData>
  <sheetProtection selectLockedCells="1"/>
  <dataValidations count="4">
    <dataValidation type="list" allowBlank="1" showInputMessage="1" showErrorMessage="1" sqref="D2:D1048576" xr:uid="{0DAF545D-E2DA-40E5-9B7B-71E3ED9FD585}">
      <formula1>AccountType</formula1>
    </dataValidation>
    <dataValidation type="decimal" operator="greaterThanOrEqual" allowBlank="1" showInputMessage="1" showErrorMessage="1" sqref="C2:C1048576" xr:uid="{38E98ADE-FF68-4364-B74A-2305DBFF425B}">
      <formula1>0</formula1>
    </dataValidation>
    <dataValidation type="date" allowBlank="1" showInputMessage="1" showErrorMessage="1" sqref="A2:A1048576" xr:uid="{B8467626-6991-4B58-BA7A-D3D085949FAC}">
      <formula1>43831</formula1>
      <formula2>49674</formula2>
    </dataValidation>
    <dataValidation type="list" allowBlank="1" showInputMessage="1" showErrorMessage="1" sqref="E2:E1048576" xr:uid="{DF712942-CDB5-4BC6-AC57-7A9410692E76}">
      <formula1>Type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E32" sqref="E32"/>
    </sheetView>
  </sheetViews>
  <sheetFormatPr defaultRowHeight="15" x14ac:dyDescent="0.2"/>
  <cols>
    <col min="1" max="1" width="22.05859375" customWidth="1"/>
    <col min="2" max="2" width="32.015625" customWidth="1"/>
    <col min="5" max="5" width="17.62109375" customWidth="1"/>
  </cols>
  <sheetData>
    <row r="1" spans="1:5" x14ac:dyDescent="0.2">
      <c r="A1" s="1" t="s">
        <v>12</v>
      </c>
      <c r="B1" s="1" t="s">
        <v>16</v>
      </c>
      <c r="E1" t="s">
        <v>17</v>
      </c>
    </row>
    <row r="2" spans="1:5" x14ac:dyDescent="0.2">
      <c r="A2" s="2" t="s">
        <v>14</v>
      </c>
      <c r="B2" s="2" t="s">
        <v>18</v>
      </c>
      <c r="E2" t="s">
        <v>19</v>
      </c>
    </row>
    <row r="3" spans="1:5" x14ac:dyDescent="0.2">
      <c r="A3" s="2" t="s">
        <v>15</v>
      </c>
      <c r="B3" s="2" t="s">
        <v>20</v>
      </c>
      <c r="E3" t="s">
        <v>2</v>
      </c>
    </row>
    <row r="4" spans="1:5" x14ac:dyDescent="0.2">
      <c r="E4" t="s">
        <v>6</v>
      </c>
    </row>
    <row r="5" spans="1:5" x14ac:dyDescent="0.2">
      <c r="E5" t="s">
        <v>21</v>
      </c>
    </row>
    <row r="6" spans="1:5" x14ac:dyDescent="0.2">
      <c r="E6" t="s">
        <v>4</v>
      </c>
    </row>
    <row r="7" spans="1:5" x14ac:dyDescent="0.2">
      <c r="E7" t="s">
        <v>5</v>
      </c>
    </row>
    <row r="8" spans="1:5" x14ac:dyDescent="0.2">
      <c r="E8" t="s">
        <v>22</v>
      </c>
    </row>
    <row r="9" spans="1:5" x14ac:dyDescent="0.2">
      <c r="E9" t="s">
        <v>23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7101-7E82-4CF8-94B8-693794DE1B5A}">
  <dimension ref="A1:L24"/>
  <sheetViews>
    <sheetView workbookViewId="0">
      <selection activeCell="G13" sqref="G13"/>
    </sheetView>
  </sheetViews>
  <sheetFormatPr defaultRowHeight="15" x14ac:dyDescent="0.2"/>
  <cols>
    <col min="1" max="1" width="10.76171875" style="5" bestFit="1" customWidth="1"/>
    <col min="2" max="2" width="11.1640625" bestFit="1" customWidth="1"/>
    <col min="3" max="3" width="8.203125" bestFit="1" customWidth="1"/>
    <col min="4" max="4" width="16.94921875" bestFit="1" customWidth="1"/>
    <col min="5" max="5" width="23.13671875" bestFit="1" customWidth="1"/>
    <col min="12" max="12" width="2.6875" bestFit="1" customWidth="1"/>
  </cols>
  <sheetData>
    <row r="1" spans="1:5" x14ac:dyDescent="0.2">
      <c r="A1" s="6" t="s">
        <v>8</v>
      </c>
      <c r="B1" s="7" t="s">
        <v>9</v>
      </c>
      <c r="C1" s="7" t="s">
        <v>10</v>
      </c>
      <c r="D1" s="7" t="s">
        <v>16</v>
      </c>
      <c r="E1" s="7" t="s">
        <v>12</v>
      </c>
    </row>
    <row r="2" spans="1:5" x14ac:dyDescent="0.2">
      <c r="A2" s="5" cm="1">
        <f t="array" aca="1" ref="A2:D3" ca="1">_xlfn.LET(_xlpm.d, tblInput4[Date],_xlpm.desc, tblInput4[Description],_xlpm.amt, tblInput4[Amount], _xlpm.typ, tblInput4[Account],_xlpm.acct, _xlfn.XLOOKUP(_xlpm.typ, tblMapping[Expense Type], tblMapping[Transfer Account], ""),_xlfn._xlws.FILTER(_xlfn.HSTACK(_xlpm.d, _xlpm.desc, _xlpm.amt, _xlpm.acct), _xlpm.d&lt;&gt;""))</f>
        <v>46039</v>
      </c>
      <c r="B2" t="str">
        <f ca="1"/>
        <v>sdsf</v>
      </c>
      <c r="C2">
        <f ca="1"/>
        <v>1</v>
      </c>
      <c r="D2" t="str">
        <f ca="1"/>
        <v>Assets:Cash</v>
      </c>
      <c r="E2" t="str">
        <f>tblInput4[[#This Row],[Expense Type]]</f>
        <v>Drinks(Cola,Hell,Dreher)</v>
      </c>
    </row>
    <row r="3" spans="1:5" x14ac:dyDescent="0.2">
      <c r="A3" s="5">
        <f ca="1"/>
        <v>46039</v>
      </c>
      <c r="B3" t="str">
        <f ca="1"/>
        <v>metro</v>
      </c>
      <c r="C3">
        <f ca="1"/>
        <v>0</v>
      </c>
      <c r="D3" t="str">
        <f ca="1"/>
        <v>Assets:Card</v>
      </c>
      <c r="E3" t="str">
        <f>tblInput4[[#This Row],[Expense Type]]</f>
        <v>Ingridients</v>
      </c>
    </row>
    <row r="4" spans="1:5" x14ac:dyDescent="0.2">
      <c r="E4" t="e">
        <f>tblInput4[[#This Row],[Expense Type]]</f>
        <v>#VALUE!</v>
      </c>
    </row>
    <row r="19" spans="12:12" x14ac:dyDescent="0.2">
      <c r="L19" t="s">
        <v>24</v>
      </c>
    </row>
    <row r="20" spans="12:12" x14ac:dyDescent="0.2">
      <c r="L20" t="s">
        <v>25</v>
      </c>
    </row>
    <row r="21" spans="12:12" x14ac:dyDescent="0.2">
      <c r="L21" t="s">
        <v>25</v>
      </c>
    </row>
    <row r="22" spans="12:12" x14ac:dyDescent="0.2">
      <c r="L22" t="s">
        <v>25</v>
      </c>
    </row>
    <row r="23" spans="12:12" x14ac:dyDescent="0.2">
      <c r="L23" t="s">
        <v>26</v>
      </c>
    </row>
    <row r="24" spans="12:12" x14ac:dyDescent="0.2">
      <c r="L2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2" topLeftCell="A3" activePane="bottomLeft" state="frozen"/>
      <selection pane="bottomLeft" activeCell="A25" sqref="A25"/>
    </sheetView>
  </sheetViews>
  <sheetFormatPr defaultRowHeight="15" x14ac:dyDescent="0.2"/>
  <cols>
    <col min="1" max="1" width="94.97265625" customWidth="1"/>
    <col min="2" max="2" width="16.0078125" customWidth="1"/>
  </cols>
  <sheetData>
    <row r="1" spans="1:2" ht="21" x14ac:dyDescent="0.3">
      <c r="A1" s="3" t="s">
        <v>28</v>
      </c>
    </row>
    <row r="3" spans="1:2" x14ac:dyDescent="0.2">
      <c r="A3" t="s">
        <v>29</v>
      </c>
    </row>
    <row r="4" spans="1:2" x14ac:dyDescent="0.2">
      <c r="A4" t="s">
        <v>30</v>
      </c>
    </row>
    <row r="5" spans="1:2" x14ac:dyDescent="0.2">
      <c r="A5" t="s">
        <v>31</v>
      </c>
    </row>
    <row r="6" spans="1:2" x14ac:dyDescent="0.2">
      <c r="A6" t="s">
        <v>32</v>
      </c>
    </row>
    <row r="8" spans="1:2" x14ac:dyDescent="0.2">
      <c r="A8" t="s">
        <v>33</v>
      </c>
      <c r="B8" s="4">
        <v>46039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Expense Summary</vt:lpstr>
      <vt:lpstr>Input_Expenses</vt:lpstr>
      <vt:lpstr>Mapping</vt:lpstr>
      <vt:lpstr>GnuCash</vt:lpstr>
      <vt:lpstr>Instructions</vt:lpstr>
      <vt:lpstr>Input_Expenses!AccountType</vt:lpstr>
      <vt:lpstr>ExpenseTypes</vt:lpstr>
      <vt:lpstr>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Tracker for GnuCash</dc:title>
  <dc:subject/>
  <dc:creator>openpyxl</dc:creator>
  <cp:keywords/>
  <dc:description/>
  <cp:lastModifiedBy>Akram Muhammad</cp:lastModifiedBy>
  <cp:revision/>
  <dcterms:created xsi:type="dcterms:W3CDTF">2026-01-17T13:46:45Z</dcterms:created>
  <dcterms:modified xsi:type="dcterms:W3CDTF">2026-01-17T16:21:44Z</dcterms:modified>
  <cp:category/>
  <cp:contentStatus/>
</cp:coreProperties>
</file>